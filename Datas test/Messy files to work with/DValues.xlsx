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m\Documents\TestCapsonFiles\"/>
    </mc:Choice>
  </mc:AlternateContent>
  <xr:revisionPtr revIDLastSave="0" documentId="13_ncr:1_{6F41FE0C-ECC9-4078-B5A7-49AF827D86A1}" xr6:coauthVersionLast="47" xr6:coauthVersionMax="47" xr10:uidLastSave="{00000000-0000-0000-0000-000000000000}"/>
  <bookViews>
    <workbookView xWindow="-110" yWindow="-110" windowWidth="19420" windowHeight="10300" xr2:uid="{0D2E171A-37A7-4230-9349-1C06F0A0704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 s="1"/>
  <c r="C10" i="1"/>
  <c r="M9" i="1"/>
  <c r="C9" i="1"/>
  <c r="E9" i="1" s="1"/>
  <c r="M8" i="1"/>
  <c r="C8" i="1"/>
  <c r="M7" i="1"/>
  <c r="C7" i="1"/>
  <c r="M6" i="1"/>
  <c r="C6" i="1"/>
  <c r="N5" i="1"/>
  <c r="M5" i="1"/>
  <c r="L5" i="1"/>
  <c r="C5" i="1"/>
  <c r="D4" i="1"/>
  <c r="C4" i="1"/>
  <c r="K4" i="1" s="1"/>
  <c r="F9" i="1" l="1"/>
  <c r="G9" i="1"/>
  <c r="H9" i="1" s="1"/>
  <c r="I9" i="1" s="1"/>
  <c r="E4" i="1"/>
  <c r="D5" i="1"/>
  <c r="D6" i="1"/>
  <c r="D7" i="1"/>
  <c r="D8" i="1"/>
  <c r="D9" i="1"/>
  <c r="D10" i="1"/>
  <c r="E11" i="1"/>
  <c r="G11" i="1" s="1"/>
  <c r="H11" i="1" s="1"/>
  <c r="I11" i="1" s="1"/>
  <c r="E5" i="1"/>
  <c r="E6" i="1"/>
  <c r="E7" i="1"/>
  <c r="E8" i="1"/>
  <c r="E10" i="1"/>
  <c r="F15" i="1"/>
  <c r="G7" i="1"/>
  <c r="H7" i="1" s="1"/>
  <c r="I7" i="1" s="1"/>
  <c r="G8" i="1"/>
  <c r="H8" i="1" s="1"/>
  <c r="I8" i="1" s="1"/>
  <c r="G4" i="1"/>
  <c r="H4" i="1" s="1"/>
  <c r="I4" i="1" s="1"/>
  <c r="F16" i="1" l="1"/>
  <c r="F17" i="1"/>
  <c r="F6" i="1"/>
  <c r="F10" i="1"/>
  <c r="F5" i="1"/>
  <c r="F8" i="1"/>
  <c r="J4" i="1"/>
  <c r="F4" i="1"/>
  <c r="G5" i="1"/>
  <c r="H5" i="1" s="1"/>
  <c r="I5" i="1" s="1"/>
  <c r="O5" i="1" s="1"/>
  <c r="F7" i="1"/>
  <c r="F11" i="1"/>
  <c r="G10" i="1"/>
  <c r="H10" i="1" s="1"/>
  <c r="I10" i="1" s="1"/>
  <c r="G6" i="1"/>
  <c r="H6" i="1" s="1"/>
  <c r="I6" i="1" s="1"/>
  <c r="R5" i="1" l="1"/>
  <c r="Q5" i="1"/>
  <c r="T5" i="1" l="1"/>
  <c r="N6" i="1" s="1"/>
  <c r="L6" i="1"/>
  <c r="O6" i="1" s="1"/>
  <c r="K5" i="1"/>
  <c r="J5" i="1"/>
  <c r="R6" i="1" l="1"/>
  <c r="Q6" i="1"/>
  <c r="T6" i="1" l="1"/>
  <c r="N7" i="1" s="1"/>
  <c r="L7" i="1"/>
  <c r="O7" i="1" s="1"/>
  <c r="K6" i="1"/>
  <c r="J6" i="1"/>
  <c r="R7" i="1" l="1"/>
  <c r="Q7" i="1"/>
  <c r="T7" i="1" l="1"/>
  <c r="N8" i="1" s="1"/>
  <c r="L8" i="1"/>
  <c r="O8" i="1" s="1"/>
  <c r="K7" i="1"/>
  <c r="J7" i="1"/>
  <c r="R8" i="1" l="1"/>
  <c r="Q8" i="1"/>
  <c r="T8" i="1" l="1"/>
  <c r="N9" i="1" s="1"/>
  <c r="L9" i="1"/>
  <c r="O9" i="1" s="1"/>
  <c r="K8" i="1"/>
  <c r="J8" i="1"/>
  <c r="R9" i="1" l="1"/>
  <c r="Q9" i="1"/>
  <c r="T9" i="1" l="1"/>
  <c r="N10" i="1" s="1"/>
  <c r="L10" i="1"/>
  <c r="O10" i="1" s="1"/>
  <c r="J9" i="1"/>
  <c r="K9" i="1"/>
  <c r="R10" i="1" l="1"/>
  <c r="Q10" i="1"/>
  <c r="L11" i="1" l="1"/>
  <c r="O11" i="1" s="1"/>
  <c r="T10" i="1"/>
  <c r="N11" i="1" s="1"/>
  <c r="K10" i="1"/>
  <c r="J10" i="1"/>
  <c r="Q11" i="1" l="1"/>
  <c r="R11" i="1"/>
  <c r="T11" i="1" l="1"/>
  <c r="K11" i="1"/>
  <c r="C19" i="1" s="1"/>
  <c r="J11" i="1"/>
  <c r="C18" i="1" s="1"/>
</calcChain>
</file>

<file path=xl/sharedStrings.xml><?xml version="1.0" encoding="utf-8"?>
<sst xmlns="http://schemas.openxmlformats.org/spreadsheetml/2006/main" count="45" uniqueCount="33">
  <si>
    <t>End</t>
  </si>
  <si>
    <t>Begining</t>
  </si>
  <si>
    <t>Sample 1</t>
  </si>
  <si>
    <t>Sample 2</t>
  </si>
  <si>
    <t>D</t>
  </si>
  <si>
    <t>Fn (l/h)</t>
  </si>
  <si>
    <t>Fn (ml/h)</t>
  </si>
  <si>
    <t>Fc (l/h)</t>
  </si>
  <si>
    <t>Fc (ml/h)</t>
  </si>
  <si>
    <t>Tsteadystate (h)</t>
  </si>
  <si>
    <t>Tsteadystate (jour)</t>
  </si>
  <si>
    <t>Tsteadystate (arondie)</t>
  </si>
  <si>
    <t>Vc used [l]</t>
  </si>
  <si>
    <t>Vn used [l]</t>
  </si>
  <si>
    <t>date</t>
  </si>
  <si>
    <t>time</t>
  </si>
  <si>
    <t>day</t>
  </si>
  <si>
    <t>jeudi</t>
  </si>
  <si>
    <t>Lundi</t>
  </si>
  <si>
    <t>Mardi</t>
  </si>
  <si>
    <t>06.10.25 -&gt; on a eu un problème durant le weekend -&gt; plus d'azote qui passait -&gt; chute de levure/OD. Donc on a pas pris les echantillons pour le steady state -&gt; on décale au 07.10.25 à D=0.15 et on mettera D=0.1 à la fin</t>
  </si>
  <si>
    <t>V (réacteur) =</t>
  </si>
  <si>
    <t>l</t>
  </si>
  <si>
    <t>Ccarbone =</t>
  </si>
  <si>
    <t>g/l</t>
  </si>
  <si>
    <t>Ccarbone initial =</t>
  </si>
  <si>
    <t>Cazote =</t>
  </si>
  <si>
    <t>Cglucose initial =</t>
  </si>
  <si>
    <t>c/n =</t>
  </si>
  <si>
    <t>g/g</t>
  </si>
  <si>
    <t>Cammonium initial =</t>
  </si>
  <si>
    <t>V(totalC) =</t>
  </si>
  <si>
    <t>V(totalN)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</si>
</sst>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164" fontId="0" fillId="0" borderId="6" xfId="0" applyNumberFormat="1" applyBorder="1"/>
    <xf numFmtId="164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mm\Documents\TestCapsonFiles\GSNW_LBiE-Chemostat_Final.xlsx" TargetMode="External"/><Relationship Id="rId1" Type="http://schemas.openxmlformats.org/officeDocument/2006/relationships/externalLinkPath" Target="GSNW_LBiE-Chemosta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 Calculation"/>
      <sheetName val="CDW"/>
      <sheetName val="HPLC"/>
      <sheetName val="GC"/>
      <sheetName val="Batch phase raw datas"/>
      <sheetName val="Chemostat phase raw datas"/>
      <sheetName val="Offgas Chemostat"/>
      <sheetName val="OD600 + microscope"/>
      <sheetName val="Ammonium"/>
      <sheetName val="Sample collection"/>
      <sheetName val="TOC"/>
    </sheetNames>
    <sheetDataSet>
      <sheetData sheetId="0"/>
      <sheetData sheetId="1"/>
      <sheetData sheetId="2">
        <row r="6">
          <cell r="E6">
            <v>0.16420000000000001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07E8-29A8-4521-9D43-7FC644995C81}">
  <dimension ref="B1:U19"/>
  <sheetViews>
    <sheetView tabSelected="1" workbookViewId="0">
      <selection activeCell="A22" sqref="A22:XFD24"/>
    </sheetView>
  </sheetViews>
  <sheetFormatPr defaultRowHeight="14.5" x14ac:dyDescent="0.35"/>
  <cols>
    <col min="2" max="4" width="12" customWidth="1"/>
    <col min="5" max="5" width="17.81640625" bestFit="1" customWidth="1"/>
    <col min="6" max="6" width="10.81640625" customWidth="1"/>
    <col min="7" max="7" width="14" bestFit="1" customWidth="1"/>
    <col min="8" max="8" width="16.1796875" bestFit="1" customWidth="1"/>
    <col min="9" max="11" width="16.1796875" customWidth="1"/>
    <col min="12" max="12" width="19.1796875" bestFit="1" customWidth="1"/>
    <col min="13" max="13" width="19.1796875" customWidth="1"/>
    <col min="14" max="14" width="19.1796875" bestFit="1" customWidth="1"/>
    <col min="15" max="20" width="14.54296875" customWidth="1"/>
  </cols>
  <sheetData>
    <row r="1" spans="2:21" x14ac:dyDescent="0.35">
      <c r="O1" s="1" t="s">
        <v>0</v>
      </c>
      <c r="P1" s="1"/>
      <c r="Q1" s="1"/>
      <c r="R1" s="1"/>
      <c r="S1" s="1"/>
      <c r="T1" s="1"/>
    </row>
    <row r="2" spans="2:21" x14ac:dyDescent="0.35">
      <c r="L2" s="1" t="s">
        <v>1</v>
      </c>
      <c r="M2" s="1"/>
      <c r="N2" s="1"/>
      <c r="O2" s="2" t="s">
        <v>2</v>
      </c>
      <c r="P2" s="3"/>
      <c r="Q2" s="4"/>
      <c r="R2" s="2" t="s">
        <v>3</v>
      </c>
      <c r="S2" s="3"/>
      <c r="T2" s="4"/>
    </row>
    <row r="3" spans="2:21" x14ac:dyDescent="0.35">
      <c r="B3" s="5" t="s">
        <v>4</v>
      </c>
      <c r="C3" s="5" t="s">
        <v>5</v>
      </c>
      <c r="D3" s="6" t="s">
        <v>6</v>
      </c>
      <c r="E3" s="5" t="s">
        <v>7</v>
      </c>
      <c r="F3" s="6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14</v>
      </c>
      <c r="P3" s="5" t="s">
        <v>15</v>
      </c>
      <c r="Q3" s="5" t="s">
        <v>16</v>
      </c>
      <c r="R3" s="5" t="s">
        <v>14</v>
      </c>
      <c r="S3" s="5" t="s">
        <v>15</v>
      </c>
      <c r="T3" s="5" t="s">
        <v>16</v>
      </c>
    </row>
    <row r="4" spans="2:21" x14ac:dyDescent="0.35">
      <c r="B4" s="7">
        <v>0.18045193155299041</v>
      </c>
      <c r="C4" s="8">
        <f>(B4*$C$14*$C$15)/($C$16*$C$17+$C$15)</f>
        <v>0.27039599117747337</v>
      </c>
      <c r="D4" s="9">
        <f>1000*C4</f>
        <v>270.39599117747338</v>
      </c>
      <c r="E4" s="8">
        <f>(C4*$C$16*$C$17)/$C$15</f>
        <v>9.0507871928507427E-2</v>
      </c>
      <c r="F4" s="10">
        <f t="shared" ref="F4:F11" si="0">1000*E4</f>
        <v>90.507871928507427</v>
      </c>
      <c r="G4" s="11">
        <f t="shared" ref="G4:G11" si="1">(5*$C$14)/(C4+E4)</f>
        <v>27.708209920333999</v>
      </c>
      <c r="H4" s="12">
        <f t="shared" ref="H4:H11" si="2">G4/24</f>
        <v>1.1545087466805832</v>
      </c>
      <c r="I4" s="12">
        <f t="shared" ref="I4:I11" si="3">ROUNDUP(H4,0.5)</f>
        <v>2</v>
      </c>
      <c r="J4" s="12">
        <f>E4*((R4-L4)*24)</f>
        <v>13.033133557705069</v>
      </c>
      <c r="K4" s="12">
        <f>C4*((R4-L4)*24)</f>
        <v>38.937022729556162</v>
      </c>
      <c r="L4" s="13">
        <v>45924</v>
      </c>
      <c r="M4" s="14">
        <v>0.64930555555555558</v>
      </c>
      <c r="N4" s="12" t="s">
        <v>17</v>
      </c>
      <c r="O4" s="13">
        <v>45929</v>
      </c>
      <c r="P4" s="15">
        <v>0.47013888888888888</v>
      </c>
      <c r="Q4" s="12" t="s">
        <v>18</v>
      </c>
      <c r="R4" s="13">
        <v>45930</v>
      </c>
      <c r="S4" s="15">
        <v>0.6875</v>
      </c>
      <c r="T4" s="12" t="s">
        <v>19</v>
      </c>
    </row>
    <row r="5" spans="2:21" x14ac:dyDescent="0.35">
      <c r="B5" s="7">
        <v>0.125</v>
      </c>
      <c r="C5" s="8">
        <f>(B5*$C$14*$C$15)/($C$16*$C$17+$C$15)</f>
        <v>0.18730472212905527</v>
      </c>
      <c r="D5" s="9">
        <f t="shared" ref="D5:D6" si="4">1000*C5</f>
        <v>187.30472212905528</v>
      </c>
      <c r="E5" s="8">
        <f>(C5*$C$16*$C$17)/$C$15</f>
        <v>6.2695277870944727E-2</v>
      </c>
      <c r="F5" s="10">
        <f t="shared" si="0"/>
        <v>62.695277870944729</v>
      </c>
      <c r="G5" s="11">
        <f t="shared" si="1"/>
        <v>40</v>
      </c>
      <c r="H5" s="12">
        <f t="shared" si="2"/>
        <v>1.6666666666666667</v>
      </c>
      <c r="I5" s="12">
        <f t="shared" si="3"/>
        <v>2</v>
      </c>
      <c r="J5" s="12">
        <f t="shared" ref="J5:J11" si="5">E5*((R5-L5)*24)</f>
        <v>4.5140600067080205</v>
      </c>
      <c r="K5" s="12">
        <f t="shared" ref="K5:K11" si="6">C5*((R5-L5)*24)</f>
        <v>13.48593999329198</v>
      </c>
      <c r="L5" s="13">
        <f t="shared" ref="L5:N9" si="7">R4</f>
        <v>45930</v>
      </c>
      <c r="M5" s="15">
        <f t="shared" si="7"/>
        <v>0.6875</v>
      </c>
      <c r="N5" s="12" t="str">
        <f t="shared" si="7"/>
        <v>Mardi</v>
      </c>
      <c r="O5" s="13">
        <f>L5+I5</f>
        <v>45932</v>
      </c>
      <c r="P5" s="16">
        <v>0.54722222222222228</v>
      </c>
      <c r="Q5" s="12" t="str">
        <f t="shared" ref="Q5:Q11" si="8">CHOOSE(WEEKDAY(O5,2), "Lundi", "Mardi", "Mercredi", "Jeudi", "Vendredi", "Samedi", "Dimanche")</f>
        <v>Jeudi</v>
      </c>
      <c r="R5" s="13">
        <f t="shared" ref="R5:R7" si="9">O5+1</f>
        <v>45933</v>
      </c>
      <c r="S5" s="16">
        <v>0.60763888888888884</v>
      </c>
      <c r="T5" s="12" t="str">
        <f t="shared" ref="T5:T11" si="10">CHOOSE(WEEKDAY(R5,2), "Lundi", "Mardi", "Mercredi", "Jeudi", "Vendredi", "Samedi", "Dimanche")</f>
        <v>Vendredi</v>
      </c>
    </row>
    <row r="6" spans="2:21" x14ac:dyDescent="0.35">
      <c r="B6" s="7">
        <v>0.1</v>
      </c>
      <c r="C6" s="8">
        <f t="shared" ref="C6:C11" si="11">(B6*$C$14*$C$15)/($C$16*$C$17+$C$15)</f>
        <v>0.14984377770324422</v>
      </c>
      <c r="D6" s="9">
        <f t="shared" si="4"/>
        <v>149.84377770324423</v>
      </c>
      <c r="E6" s="8">
        <f t="shared" ref="E6:E11" si="12">(C6*$C$16*$C$17)/$C$15</f>
        <v>5.0156222296755773E-2</v>
      </c>
      <c r="F6" s="10">
        <f t="shared" si="0"/>
        <v>50.156222296755772</v>
      </c>
      <c r="G6" s="11">
        <f t="shared" si="1"/>
        <v>50</v>
      </c>
      <c r="H6" s="12">
        <f t="shared" si="2"/>
        <v>2.0833333333333335</v>
      </c>
      <c r="I6" s="12">
        <f t="shared" si="3"/>
        <v>3</v>
      </c>
      <c r="J6" s="12">
        <f t="shared" si="5"/>
        <v>4.8149973404885547</v>
      </c>
      <c r="K6" s="12">
        <f t="shared" si="6"/>
        <v>14.385002659511446</v>
      </c>
      <c r="L6" s="13">
        <f t="shared" si="7"/>
        <v>45933</v>
      </c>
      <c r="M6" s="14">
        <f t="shared" si="7"/>
        <v>0.60763888888888884</v>
      </c>
      <c r="N6" s="12" t="str">
        <f t="shared" si="7"/>
        <v>Vendredi</v>
      </c>
      <c r="O6" s="13">
        <f t="shared" ref="O6:O11" si="13">L6+I6</f>
        <v>45936</v>
      </c>
      <c r="P6" s="14">
        <v>0.6875</v>
      </c>
      <c r="Q6" s="12" t="str">
        <f t="shared" si="8"/>
        <v>Lundi</v>
      </c>
      <c r="R6" s="13">
        <f t="shared" si="9"/>
        <v>45937</v>
      </c>
      <c r="S6" s="14">
        <v>0.40972222222222221</v>
      </c>
      <c r="T6" s="12" t="str">
        <f t="shared" si="10"/>
        <v>Mardi</v>
      </c>
      <c r="U6" t="s">
        <v>20</v>
      </c>
    </row>
    <row r="7" spans="2:21" x14ac:dyDescent="0.35">
      <c r="B7" s="7">
        <v>0.15</v>
      </c>
      <c r="C7" s="8">
        <f t="shared" si="11"/>
        <v>0.22476566655486632</v>
      </c>
      <c r="D7" s="9">
        <f>1000*C7</f>
        <v>224.76566655486633</v>
      </c>
      <c r="E7" s="8">
        <f t="shared" si="12"/>
        <v>7.5234333445133666E-2</v>
      </c>
      <c r="F7" s="10">
        <f t="shared" si="0"/>
        <v>75.234333445133672</v>
      </c>
      <c r="G7" s="11">
        <f t="shared" si="1"/>
        <v>33.333333333333336</v>
      </c>
      <c r="H7" s="12">
        <f t="shared" si="2"/>
        <v>1.3888888888888891</v>
      </c>
      <c r="I7" s="12">
        <f t="shared" si="3"/>
        <v>2</v>
      </c>
      <c r="J7" s="12">
        <f t="shared" si="5"/>
        <v>5.4168720080496238</v>
      </c>
      <c r="K7" s="12">
        <f t="shared" si="6"/>
        <v>16.183127991950375</v>
      </c>
      <c r="L7" s="13">
        <f t="shared" si="7"/>
        <v>45937</v>
      </c>
      <c r="M7" s="14">
        <f t="shared" si="7"/>
        <v>0.40972222222222221</v>
      </c>
      <c r="N7" s="12" t="str">
        <f t="shared" si="7"/>
        <v>Mardi</v>
      </c>
      <c r="O7" s="13">
        <f t="shared" si="13"/>
        <v>45939</v>
      </c>
      <c r="P7" s="16">
        <v>0.6875</v>
      </c>
      <c r="Q7" s="12" t="str">
        <f t="shared" si="8"/>
        <v>Jeudi</v>
      </c>
      <c r="R7" s="13">
        <f t="shared" si="9"/>
        <v>45940</v>
      </c>
      <c r="S7" s="16">
        <v>0.54791666666666672</v>
      </c>
      <c r="T7" s="12" t="str">
        <f t="shared" si="10"/>
        <v>Vendredi</v>
      </c>
    </row>
    <row r="8" spans="2:21" x14ac:dyDescent="0.35">
      <c r="B8" s="7">
        <v>7.4999999999999997E-2</v>
      </c>
      <c r="C8" s="8">
        <f t="shared" si="11"/>
        <v>0.11238283327743316</v>
      </c>
      <c r="D8" s="9">
        <f>1000*C8</f>
        <v>112.38283327743316</v>
      </c>
      <c r="E8" s="8">
        <f t="shared" si="12"/>
        <v>3.7617166722566833E-2</v>
      </c>
      <c r="F8" s="10">
        <f t="shared" si="0"/>
        <v>37.617166722566836</v>
      </c>
      <c r="G8" s="11">
        <f t="shared" si="1"/>
        <v>66.666666666666671</v>
      </c>
      <c r="H8" s="12">
        <f t="shared" si="2"/>
        <v>2.7777777777777781</v>
      </c>
      <c r="I8" s="12">
        <f t="shared" si="3"/>
        <v>3</v>
      </c>
      <c r="J8" s="12">
        <f t="shared" si="5"/>
        <v>3.611248005366416</v>
      </c>
      <c r="K8" s="12">
        <f t="shared" si="6"/>
        <v>10.788751994633584</v>
      </c>
      <c r="L8" s="13">
        <f t="shared" si="7"/>
        <v>45940</v>
      </c>
      <c r="M8" s="16">
        <f t="shared" si="7"/>
        <v>0.54791666666666672</v>
      </c>
      <c r="N8" s="12" t="str">
        <f t="shared" si="7"/>
        <v>Vendredi</v>
      </c>
      <c r="O8" s="13">
        <f t="shared" si="13"/>
        <v>45943</v>
      </c>
      <c r="P8" s="16">
        <v>0.68055555555555558</v>
      </c>
      <c r="Q8" s="12" t="str">
        <f t="shared" si="8"/>
        <v>Lundi</v>
      </c>
      <c r="R8" s="13">
        <f>O8+1</f>
        <v>45944</v>
      </c>
      <c r="S8" s="16">
        <v>0.40972222222222221</v>
      </c>
      <c r="T8" s="12" t="str">
        <f t="shared" si="10"/>
        <v>Mardi</v>
      </c>
    </row>
    <row r="9" spans="2:21" x14ac:dyDescent="0.35">
      <c r="B9" s="7">
        <v>0.2</v>
      </c>
      <c r="C9" s="8">
        <f t="shared" si="11"/>
        <v>0.29968755540648845</v>
      </c>
      <c r="D9" s="9">
        <f>1000*C9</f>
        <v>299.68755540648846</v>
      </c>
      <c r="E9" s="8">
        <f t="shared" si="12"/>
        <v>0.10031244459351155</v>
      </c>
      <c r="F9" s="10">
        <f t="shared" si="0"/>
        <v>100.31244459351154</v>
      </c>
      <c r="G9" s="11">
        <f t="shared" si="1"/>
        <v>25</v>
      </c>
      <c r="H9" s="12">
        <f t="shared" si="2"/>
        <v>1.0416666666666667</v>
      </c>
      <c r="I9" s="12">
        <f t="shared" si="3"/>
        <v>2</v>
      </c>
      <c r="J9" s="12">
        <f t="shared" si="5"/>
        <v>7.2224960107328311</v>
      </c>
      <c r="K9" s="12">
        <f t="shared" si="6"/>
        <v>21.577503989267168</v>
      </c>
      <c r="L9" s="13">
        <f t="shared" si="7"/>
        <v>45944</v>
      </c>
      <c r="M9" s="16">
        <f t="shared" si="7"/>
        <v>0.40972222222222221</v>
      </c>
      <c r="N9" s="17" t="str">
        <f t="shared" si="7"/>
        <v>Mardi</v>
      </c>
      <c r="O9" s="18">
        <f t="shared" si="13"/>
        <v>45946</v>
      </c>
      <c r="P9" s="16">
        <v>0.66319444444444442</v>
      </c>
      <c r="Q9" s="12" t="str">
        <f t="shared" si="8"/>
        <v>Jeudi</v>
      </c>
      <c r="R9" s="13">
        <f>O9+1</f>
        <v>45947</v>
      </c>
      <c r="S9" s="16">
        <v>0.62847222222222221</v>
      </c>
      <c r="T9" s="12" t="str">
        <f t="shared" si="10"/>
        <v>Vendredi</v>
      </c>
    </row>
    <row r="10" spans="2:21" x14ac:dyDescent="0.35">
      <c r="B10" s="7">
        <v>7.0000000000000007E-2</v>
      </c>
      <c r="C10" s="8">
        <f t="shared" si="11"/>
        <v>0.10489064439227096</v>
      </c>
      <c r="D10" s="9">
        <f>1000*C10</f>
        <v>104.89064439227096</v>
      </c>
      <c r="E10" s="8">
        <f t="shared" si="12"/>
        <v>3.5109355607729043E-2</v>
      </c>
      <c r="F10" s="10">
        <f t="shared" si="0"/>
        <v>35.109355607729043</v>
      </c>
      <c r="G10" s="11">
        <f t="shared" si="1"/>
        <v>71.428571428571416</v>
      </c>
      <c r="H10" s="12">
        <f t="shared" si="2"/>
        <v>2.9761904761904758</v>
      </c>
      <c r="I10" s="12">
        <f t="shared" si="3"/>
        <v>3</v>
      </c>
      <c r="J10" s="12">
        <f t="shared" si="5"/>
        <v>3.3704981383419881</v>
      </c>
      <c r="K10" s="12">
        <f t="shared" si="6"/>
        <v>10.069501861658011</v>
      </c>
      <c r="L10" s="13">
        <f>R9</f>
        <v>45947</v>
      </c>
      <c r="M10" s="16">
        <v>0.65277777777777779</v>
      </c>
      <c r="N10" s="17" t="str">
        <f>T9</f>
        <v>Vendredi</v>
      </c>
      <c r="O10" s="18">
        <f t="shared" si="13"/>
        <v>45950</v>
      </c>
      <c r="P10" s="16">
        <v>0.6875</v>
      </c>
      <c r="Q10" s="12" t="str">
        <f t="shared" si="8"/>
        <v>Lundi</v>
      </c>
      <c r="R10" s="13">
        <f>O10+1</f>
        <v>45951</v>
      </c>
      <c r="S10" s="16">
        <v>0.40972222222222221</v>
      </c>
      <c r="T10" s="12" t="str">
        <f t="shared" si="10"/>
        <v>Mardi</v>
      </c>
    </row>
    <row r="11" spans="2:21" x14ac:dyDescent="0.35">
      <c r="B11" s="7">
        <v>1.5</v>
      </c>
      <c r="C11" s="8">
        <f t="shared" si="11"/>
        <v>2.2476566655486634</v>
      </c>
      <c r="D11" s="9">
        <f>1000*C11</f>
        <v>2247.6566655486636</v>
      </c>
      <c r="E11" s="8">
        <f t="shared" si="12"/>
        <v>0.75234333445133661</v>
      </c>
      <c r="F11" s="10">
        <f t="shared" si="0"/>
        <v>752.34333445133666</v>
      </c>
      <c r="G11" s="11">
        <f t="shared" si="1"/>
        <v>3.3333333333333335</v>
      </c>
      <c r="H11" s="12">
        <f t="shared" si="2"/>
        <v>0.1388888888888889</v>
      </c>
      <c r="I11" s="12">
        <f t="shared" si="3"/>
        <v>1</v>
      </c>
      <c r="J11" s="12">
        <f t="shared" si="5"/>
        <v>36.112480053664157</v>
      </c>
      <c r="K11" s="12">
        <f t="shared" si="6"/>
        <v>107.88751994633584</v>
      </c>
      <c r="L11" s="13">
        <f>R10</f>
        <v>45951</v>
      </c>
      <c r="M11" s="16">
        <v>0.65277777777777779</v>
      </c>
      <c r="N11" s="17" t="str">
        <f>T10</f>
        <v>Mardi</v>
      </c>
      <c r="O11" s="18">
        <f t="shared" si="13"/>
        <v>45952</v>
      </c>
      <c r="P11" s="16">
        <v>0.6875</v>
      </c>
      <c r="Q11" s="12" t="str">
        <f t="shared" si="8"/>
        <v>Mercredi</v>
      </c>
      <c r="R11" s="13">
        <f>O11+1</f>
        <v>45953</v>
      </c>
      <c r="S11" s="16">
        <v>0.40972222222222221</v>
      </c>
      <c r="T11" s="12" t="str">
        <f t="shared" si="10"/>
        <v>Jeudi</v>
      </c>
    </row>
    <row r="14" spans="2:21" ht="14.9" customHeight="1" x14ac:dyDescent="0.35">
      <c r="B14" s="19" t="s">
        <v>21</v>
      </c>
      <c r="C14" s="20">
        <v>2</v>
      </c>
      <c r="D14" s="21" t="s">
        <v>22</v>
      </c>
    </row>
    <row r="15" spans="2:21" x14ac:dyDescent="0.35">
      <c r="B15" s="22" t="s">
        <v>23</v>
      </c>
      <c r="C15">
        <v>199.98099999999999</v>
      </c>
      <c r="D15" s="23" t="s">
        <v>24</v>
      </c>
      <c r="E15" s="24" t="s">
        <v>25</v>
      </c>
      <c r="F15" s="25">
        <f>C15*[1]HPLC!E6/(C6+E6)</f>
        <v>164.18440100000001</v>
      </c>
      <c r="G15" s="26" t="s">
        <v>24</v>
      </c>
    </row>
    <row r="16" spans="2:21" x14ac:dyDescent="0.35">
      <c r="B16" s="22" t="s">
        <v>26</v>
      </c>
      <c r="C16">
        <v>0.89251100000000005</v>
      </c>
      <c r="D16" s="23" t="s">
        <v>24</v>
      </c>
      <c r="E16" s="24" t="s">
        <v>27</v>
      </c>
      <c r="F16" s="25">
        <f>F15/(72.066/180.156)</f>
        <v>410.44049824544169</v>
      </c>
      <c r="G16" s="26" t="s">
        <v>24</v>
      </c>
    </row>
    <row r="17" spans="2:7" x14ac:dyDescent="0.35">
      <c r="B17" s="27" t="s">
        <v>28</v>
      </c>
      <c r="C17" s="28">
        <v>75</v>
      </c>
      <c r="D17" s="29" t="s">
        <v>29</v>
      </c>
      <c r="E17" s="24" t="s">
        <v>30</v>
      </c>
      <c r="F17" s="25">
        <f>(F15/C17)/(14.01/17.034)</f>
        <v>2.6616389118572448</v>
      </c>
      <c r="G17" s="26" t="s">
        <v>24</v>
      </c>
    </row>
    <row r="18" spans="2:7" x14ac:dyDescent="0.35">
      <c r="B18" s="19" t="s">
        <v>31</v>
      </c>
      <c r="C18" s="30">
        <f>SUM(J4:J11)</f>
        <v>78.09578512105665</v>
      </c>
      <c r="D18" s="21" t="s">
        <v>22</v>
      </c>
    </row>
    <row r="19" spans="2:7" x14ac:dyDescent="0.35">
      <c r="B19" s="27" t="s">
        <v>32</v>
      </c>
      <c r="C19" s="31">
        <f>SUM(K4:K11)</f>
        <v>233.31437116620458</v>
      </c>
      <c r="D19" s="29" t="s">
        <v>22</v>
      </c>
    </row>
  </sheetData>
  <mergeCells count="4">
    <mergeCell ref="O1:T1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Chammartin William</dc:creator>
  <cp:lastModifiedBy>Chammartin William</cp:lastModifiedBy>
  <dcterms:created xsi:type="dcterms:W3CDTF">2025-12-06T12:46:16Z</dcterms:created>
  <dcterms:modified xsi:type="dcterms:W3CDTF">2025-12-06T12:47:06Z</dcterms:modified>
</cp:coreProperties>
</file>