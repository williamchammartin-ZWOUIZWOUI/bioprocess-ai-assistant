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chamm\Documents\TestCapsonFiles\"/>
    </mc:Choice>
  </mc:AlternateContent>
  <xr:revisionPtr revIDLastSave="0" documentId="13_ncr:1_{CAA22BB3-D72C-41F7-98CE-561249E3B53C}" xr6:coauthVersionLast="47" xr6:coauthVersionMax="47" xr10:uidLastSave="{00000000-0000-0000-0000-000000000000}"/>
  <bookViews>
    <workbookView xWindow="-110" yWindow="-110" windowWidth="19420" windowHeight="10300" xr2:uid="{7162F7E1-F202-4C94-86E0-C9F87A01668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6" i="1" l="1"/>
  <c r="F16" i="1" s="1"/>
  <c r="G16" i="1" s="1"/>
  <c r="D16" i="1"/>
  <c r="G15" i="1"/>
  <c r="F15" i="1"/>
  <c r="E15" i="1"/>
  <c r="D15" i="1"/>
  <c r="G14" i="1"/>
  <c r="F14" i="1"/>
  <c r="E14" i="1"/>
  <c r="D14" i="1"/>
  <c r="G13" i="1"/>
  <c r="F13" i="1"/>
  <c r="E13" i="1"/>
  <c r="D13" i="1"/>
  <c r="G12" i="1"/>
  <c r="F12" i="1"/>
  <c r="E12" i="1"/>
  <c r="D12" i="1"/>
  <c r="G11" i="1"/>
  <c r="F11" i="1"/>
  <c r="E11" i="1"/>
  <c r="D11" i="1"/>
  <c r="G10" i="1"/>
  <c r="F10" i="1"/>
  <c r="E10" i="1"/>
  <c r="D10" i="1"/>
  <c r="G9" i="1"/>
  <c r="F9" i="1"/>
  <c r="E9" i="1"/>
  <c r="D9" i="1"/>
  <c r="G8" i="1"/>
  <c r="F8" i="1"/>
  <c r="E8" i="1"/>
  <c r="D8" i="1"/>
  <c r="G7" i="1"/>
  <c r="F7" i="1"/>
  <c r="E7" i="1"/>
  <c r="D7" i="1"/>
  <c r="G6" i="1"/>
  <c r="F6" i="1"/>
  <c r="E6" i="1"/>
  <c r="D6" i="1"/>
  <c r="G5" i="1"/>
  <c r="F5" i="1"/>
  <c r="E5" i="1"/>
  <c r="D5" i="1"/>
  <c r="G4" i="1"/>
  <c r="F4" i="1"/>
  <c r="E4" i="1"/>
  <c r="D4" i="1"/>
  <c r="F3" i="1"/>
  <c r="E3" i="1"/>
  <c r="D3" i="1"/>
</calcChain>
</file>

<file path=xl/sharedStrings.xml><?xml version="1.0" encoding="utf-8"?>
<sst xmlns="http://schemas.openxmlformats.org/spreadsheetml/2006/main" count="24" uniqueCount="23">
  <si>
    <t>Abs [-]</t>
  </si>
  <si>
    <t>fd [-]</t>
  </si>
  <si>
    <t>Abs corrected (-blank)[-]</t>
  </si>
  <si>
    <t>dil NH4+ [mg/l]</t>
  </si>
  <si>
    <t>Undil NH4+ [mg/l]</t>
  </si>
  <si>
    <t>Ammonium [g/L]</t>
  </si>
  <si>
    <t>Blank</t>
  </si>
  <si>
    <t>-</t>
  </si>
  <si>
    <t>C1</t>
  </si>
  <si>
    <t>C2</t>
  </si>
  <si>
    <t>C4</t>
  </si>
  <si>
    <t>VALEURS NON UTILISABLE, EN DEHORS DU DOMAINE</t>
  </si>
  <si>
    <t>C5</t>
  </si>
  <si>
    <t>C9</t>
  </si>
  <si>
    <t>C10</t>
  </si>
  <si>
    <t>C11</t>
  </si>
  <si>
    <t>C12</t>
  </si>
  <si>
    <t>C14</t>
  </si>
  <si>
    <t>C15</t>
  </si>
  <si>
    <t>C16</t>
  </si>
  <si>
    <t>C17</t>
  </si>
  <si>
    <t>Factor (from the kit) :</t>
  </si>
  <si>
    <r>
      <t xml:space="preserve">On considère que on ne peut pas moins diluer que fd = 100. Moins dilué
l'échantillon (p.ex. fd = 50) serait risqué, en fesant ça les métabolite secondaire présent dans le surnageant (acide aminé, amines, amides) ont plus de chance de réagir selon le même principe. On veut uniquement quantifier le substrat d'azote résiduel, dans ce cas on considérera alors que </t>
    </r>
    <r>
      <rPr>
        <b/>
        <sz val="11"/>
        <color theme="1"/>
        <rFont val="Aptos Narrow"/>
        <family val="2"/>
        <scheme val="minor"/>
      </rPr>
      <t>tout le substrate N a été consommé pour la croissance microbienne</t>
    </r>
    <r>
      <rPr>
        <sz val="11"/>
        <color theme="1"/>
        <rFont val="Aptos Narrow"/>
        <family val="2"/>
        <scheme val="minor"/>
      </rPr>
      <t xml:space="preserve"> (on considère le résultat de nos analyses = 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</si>
</sst>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sz val="12"/>
      <color theme="1"/>
      <name val="Aptos"/>
      <family val="2"/>
    </font>
  </fonts>
  <fills count="6">
    <fill>
      <patternFill patternType="none"/>
    </fill>
    <fill>
      <patternFill patternType="gray125"/>
    </fill>
    <fill>
      <patternFill patternType="solid">
        <fgColor theme="2" tint="-9.9978637043366805E-2"/>
        <bgColor indexed="64"/>
      </patternFill>
    </fill>
    <fill>
      <patternFill patternType="solid">
        <fgColor theme="9" tint="0.79998168889431442"/>
        <bgColor indexed="64"/>
      </patternFill>
    </fill>
    <fill>
      <patternFill patternType="solid">
        <fgColor rgb="FFFF0000"/>
        <bgColor indexed="64"/>
      </patternFill>
    </fill>
    <fill>
      <patternFill patternType="solid">
        <fgColor rgb="FFFFFF0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2" borderId="1" xfId="0" applyFill="1" applyBorder="1"/>
    <xf numFmtId="0" fontId="0" fillId="2" borderId="1" xfId="0" applyFill="1" applyBorder="1" applyAlignment="1">
      <alignment horizontal="center" vertical="center"/>
    </xf>
    <xf numFmtId="0" fontId="0" fillId="0" borderId="1" xfId="0" applyBorder="1" applyAlignment="1">
      <alignment horizontal="center" vertical="center"/>
    </xf>
    <xf numFmtId="0" fontId="0" fillId="3" borderId="1" xfId="0" applyFill="1" applyBorder="1" applyAlignment="1">
      <alignment horizontal="center" vertical="center"/>
    </xf>
    <xf numFmtId="0" fontId="1" fillId="4" borderId="0" xfId="0" applyFont="1" applyFill="1" applyAlignment="1">
      <alignment horizontal="center" textRotation="90"/>
    </xf>
    <xf numFmtId="0" fontId="1" fillId="0" borderId="0" xfId="0" applyFont="1"/>
    <xf numFmtId="0" fontId="0" fillId="5" borderId="2" xfId="0" applyFill="1" applyBorder="1" applyAlignment="1">
      <alignment horizontal="right"/>
    </xf>
    <xf numFmtId="0" fontId="0" fillId="5" borderId="3" xfId="0" applyFill="1" applyBorder="1"/>
    <xf numFmtId="0" fontId="0" fillId="3" borderId="0" xfId="0" applyFill="1" applyAlignment="1">
      <alignment horizontal="center" vertical="center" wrapText="1"/>
    </xf>
    <xf numFmtId="0" fontId="0" fillId="3" borderId="0" xfId="0" applyFill="1" applyAlignment="1">
      <alignment horizontal="center" vertical="center"/>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406AF-2A3F-4929-BEAA-1347BA3194AA}">
  <dimension ref="A2:L38"/>
  <sheetViews>
    <sheetView tabSelected="1" topLeftCell="A17" workbookViewId="0">
      <selection activeCell="D32" sqref="D32"/>
    </sheetView>
  </sheetViews>
  <sheetFormatPr defaultRowHeight="14.5" x14ac:dyDescent="0.35"/>
  <cols>
    <col min="4" max="4" width="20.7265625" bestFit="1" customWidth="1"/>
    <col min="5" max="5" width="12.81640625" bestFit="1" customWidth="1"/>
    <col min="6" max="6" width="15" bestFit="1" customWidth="1"/>
    <col min="7" max="7" width="14.08984375" bestFit="1" customWidth="1"/>
    <col min="10" max="10" width="17.90625" bestFit="1" customWidth="1"/>
  </cols>
  <sheetData>
    <row r="2" spans="1:12" ht="30" customHeight="1" x14ac:dyDescent="0.35">
      <c r="A2" s="1"/>
      <c r="B2" s="2" t="s">
        <v>0</v>
      </c>
      <c r="C2" s="2" t="s">
        <v>1</v>
      </c>
      <c r="D2" s="2" t="s">
        <v>2</v>
      </c>
      <c r="E2" s="2" t="s">
        <v>3</v>
      </c>
      <c r="F2" s="2" t="s">
        <v>4</v>
      </c>
      <c r="G2" s="2" t="s">
        <v>5</v>
      </c>
    </row>
    <row r="3" spans="1:12" ht="30" customHeight="1" x14ac:dyDescent="0.35">
      <c r="A3" s="1" t="s">
        <v>6</v>
      </c>
      <c r="B3" s="3">
        <v>4.1000000000000002E-2</v>
      </c>
      <c r="C3" s="3" t="s">
        <v>7</v>
      </c>
      <c r="D3" s="3">
        <f t="shared" ref="D3:D16" si="0">B3-$B$3</f>
        <v>0</v>
      </c>
      <c r="E3" s="3">
        <f t="shared" ref="E3:E16" si="1">D3*$K$18</f>
        <v>0</v>
      </c>
      <c r="F3" s="3" t="e">
        <f t="shared" ref="F3:F16" si="2">E3*C3</f>
        <v>#VALUE!</v>
      </c>
      <c r="G3" s="3"/>
    </row>
    <row r="4" spans="1:12" ht="30" customHeight="1" x14ac:dyDescent="0.35">
      <c r="A4" s="1" t="s">
        <v>8</v>
      </c>
      <c r="B4" s="3">
        <v>0.107</v>
      </c>
      <c r="C4" s="3">
        <v>1000</v>
      </c>
      <c r="D4" s="3">
        <f t="shared" si="0"/>
        <v>6.6000000000000003E-2</v>
      </c>
      <c r="E4" s="3">
        <f t="shared" si="1"/>
        <v>0.10428000000000001</v>
      </c>
      <c r="F4" s="3">
        <f t="shared" si="2"/>
        <v>104.28000000000002</v>
      </c>
      <c r="G4" s="3">
        <f>F4/1000</f>
        <v>0.10428000000000001</v>
      </c>
    </row>
    <row r="5" spans="1:12" ht="30" customHeight="1" x14ac:dyDescent="0.35">
      <c r="A5" s="1" t="s">
        <v>9</v>
      </c>
      <c r="B5" s="3">
        <v>0.104</v>
      </c>
      <c r="C5" s="3">
        <v>1000</v>
      </c>
      <c r="D5" s="3">
        <f t="shared" si="0"/>
        <v>6.3E-2</v>
      </c>
      <c r="E5" s="3">
        <f t="shared" si="1"/>
        <v>9.9540000000000003E-2</v>
      </c>
      <c r="F5" s="3">
        <f t="shared" si="2"/>
        <v>99.54</v>
      </c>
      <c r="G5" s="3">
        <f t="shared" ref="G5:G16" si="3">F5/1000</f>
        <v>9.9540000000000003E-2</v>
      </c>
    </row>
    <row r="6" spans="1:12" ht="30" customHeight="1" x14ac:dyDescent="0.35">
      <c r="A6" s="1" t="s">
        <v>10</v>
      </c>
      <c r="B6" s="3">
        <v>0.11</v>
      </c>
      <c r="C6" s="3">
        <v>1000</v>
      </c>
      <c r="D6" s="3">
        <f t="shared" si="0"/>
        <v>6.9000000000000006E-2</v>
      </c>
      <c r="E6" s="3">
        <f t="shared" si="1"/>
        <v>0.10902000000000002</v>
      </c>
      <c r="F6" s="3">
        <f t="shared" si="2"/>
        <v>109.02000000000002</v>
      </c>
      <c r="G6" s="3">
        <f t="shared" si="3"/>
        <v>0.10902000000000002</v>
      </c>
    </row>
    <row r="7" spans="1:12" ht="30" customHeight="1" x14ac:dyDescent="0.35">
      <c r="A7" s="1" t="s">
        <v>10</v>
      </c>
      <c r="B7" s="3">
        <v>2.5000000000000001E-2</v>
      </c>
      <c r="C7" s="4">
        <v>100</v>
      </c>
      <c r="D7" s="3">
        <f t="shared" si="0"/>
        <v>-1.6E-2</v>
      </c>
      <c r="E7" s="3">
        <f t="shared" si="1"/>
        <v>-2.528E-2</v>
      </c>
      <c r="F7" s="3">
        <f t="shared" si="2"/>
        <v>-2.528</v>
      </c>
      <c r="G7" s="3">
        <f t="shared" si="3"/>
        <v>-2.5279999999999999E-3</v>
      </c>
      <c r="H7" s="5" t="s">
        <v>11</v>
      </c>
      <c r="I7" s="6"/>
      <c r="J7" s="6"/>
      <c r="K7" s="6"/>
      <c r="L7" s="6"/>
    </row>
    <row r="8" spans="1:12" ht="30" customHeight="1" x14ac:dyDescent="0.35">
      <c r="A8" s="1" t="s">
        <v>12</v>
      </c>
      <c r="B8" s="3">
        <v>3.6999999999999998E-2</v>
      </c>
      <c r="C8" s="4">
        <v>100</v>
      </c>
      <c r="D8" s="3">
        <f t="shared" si="0"/>
        <v>-4.0000000000000036E-3</v>
      </c>
      <c r="E8" s="3">
        <f t="shared" si="1"/>
        <v>-6.3200000000000062E-3</v>
      </c>
      <c r="F8" s="3">
        <f t="shared" si="2"/>
        <v>-0.63200000000000056</v>
      </c>
      <c r="G8" s="3">
        <f t="shared" si="3"/>
        <v>-6.3200000000000051E-4</v>
      </c>
      <c r="H8" s="5"/>
    </row>
    <row r="9" spans="1:12" ht="30" customHeight="1" x14ac:dyDescent="0.35">
      <c r="A9" s="1" t="s">
        <v>13</v>
      </c>
      <c r="B9" s="3">
        <v>2.3E-2</v>
      </c>
      <c r="C9" s="4">
        <v>100</v>
      </c>
      <c r="D9" s="3">
        <f t="shared" si="0"/>
        <v>-1.8000000000000002E-2</v>
      </c>
      <c r="E9" s="3">
        <f t="shared" si="1"/>
        <v>-2.8440000000000003E-2</v>
      </c>
      <c r="F9" s="3">
        <f t="shared" si="2"/>
        <v>-2.8440000000000003</v>
      </c>
      <c r="G9" s="3">
        <f t="shared" si="3"/>
        <v>-2.8440000000000002E-3</v>
      </c>
      <c r="H9" s="5"/>
    </row>
    <row r="10" spans="1:12" ht="30" customHeight="1" x14ac:dyDescent="0.35">
      <c r="A10" s="1" t="s">
        <v>14</v>
      </c>
      <c r="B10" s="3">
        <v>3.6999999999999998E-2</v>
      </c>
      <c r="C10" s="4">
        <v>100</v>
      </c>
      <c r="D10" s="3">
        <f t="shared" si="0"/>
        <v>-4.0000000000000036E-3</v>
      </c>
      <c r="E10" s="3">
        <f t="shared" si="1"/>
        <v>-6.3200000000000062E-3</v>
      </c>
      <c r="F10" s="3">
        <f t="shared" si="2"/>
        <v>-0.63200000000000056</v>
      </c>
      <c r="G10" s="3">
        <f t="shared" si="3"/>
        <v>-6.3200000000000051E-4</v>
      </c>
      <c r="H10" s="5"/>
    </row>
    <row r="11" spans="1:12" ht="30" customHeight="1" x14ac:dyDescent="0.35">
      <c r="A11" s="1" t="s">
        <v>15</v>
      </c>
      <c r="B11" s="3">
        <v>2.3E-2</v>
      </c>
      <c r="C11" s="4">
        <v>100</v>
      </c>
      <c r="D11" s="3">
        <f t="shared" si="0"/>
        <v>-1.8000000000000002E-2</v>
      </c>
      <c r="E11" s="3">
        <f t="shared" si="1"/>
        <v>-2.8440000000000003E-2</v>
      </c>
      <c r="F11" s="3">
        <f t="shared" si="2"/>
        <v>-2.8440000000000003</v>
      </c>
      <c r="G11" s="3">
        <f t="shared" si="3"/>
        <v>-2.8440000000000002E-3</v>
      </c>
      <c r="H11" s="5"/>
    </row>
    <row r="12" spans="1:12" ht="30" customHeight="1" x14ac:dyDescent="0.35">
      <c r="A12" s="1" t="s">
        <v>16</v>
      </c>
      <c r="B12" s="3">
        <v>1.7000000000000001E-2</v>
      </c>
      <c r="C12" s="4">
        <v>100</v>
      </c>
      <c r="D12" s="3">
        <f t="shared" si="0"/>
        <v>-2.4E-2</v>
      </c>
      <c r="E12" s="3">
        <f t="shared" si="1"/>
        <v>-3.7920000000000002E-2</v>
      </c>
      <c r="F12" s="3">
        <f t="shared" si="2"/>
        <v>-3.7920000000000003</v>
      </c>
      <c r="G12" s="3">
        <f t="shared" si="3"/>
        <v>-3.7920000000000002E-3</v>
      </c>
      <c r="H12" s="5"/>
    </row>
    <row r="13" spans="1:12" ht="30" customHeight="1" x14ac:dyDescent="0.35">
      <c r="A13" s="1" t="s">
        <v>17</v>
      </c>
      <c r="B13" s="3">
        <v>3.7999999999999999E-2</v>
      </c>
      <c r="C13" s="4">
        <v>100</v>
      </c>
      <c r="D13" s="3">
        <f t="shared" si="0"/>
        <v>-3.0000000000000027E-3</v>
      </c>
      <c r="E13" s="3">
        <f t="shared" si="1"/>
        <v>-4.7400000000000046E-3</v>
      </c>
      <c r="F13" s="3">
        <f t="shared" si="2"/>
        <v>-0.47400000000000048</v>
      </c>
      <c r="G13" s="3">
        <f t="shared" si="3"/>
        <v>-4.7400000000000046E-4</v>
      </c>
      <c r="H13" s="5"/>
    </row>
    <row r="14" spans="1:12" ht="30" customHeight="1" x14ac:dyDescent="0.35">
      <c r="A14" s="1" t="s">
        <v>18</v>
      </c>
      <c r="B14" s="3">
        <v>3.2000000000000001E-2</v>
      </c>
      <c r="C14" s="4">
        <v>100</v>
      </c>
      <c r="D14" s="3">
        <f t="shared" si="0"/>
        <v>-9.0000000000000011E-3</v>
      </c>
      <c r="E14" s="3">
        <f t="shared" si="1"/>
        <v>-1.4220000000000002E-2</v>
      </c>
      <c r="F14" s="3">
        <f t="shared" si="2"/>
        <v>-1.4220000000000002</v>
      </c>
      <c r="G14" s="3">
        <f t="shared" si="3"/>
        <v>-1.4220000000000001E-3</v>
      </c>
      <c r="H14" s="5"/>
    </row>
    <row r="15" spans="1:12" ht="30" customHeight="1" x14ac:dyDescent="0.35">
      <c r="A15" s="1" t="s">
        <v>19</v>
      </c>
      <c r="B15" s="3">
        <v>2.7E-2</v>
      </c>
      <c r="C15" s="4">
        <v>100</v>
      </c>
      <c r="D15" s="3">
        <f t="shared" si="0"/>
        <v>-1.4000000000000002E-2</v>
      </c>
      <c r="E15" s="3">
        <f t="shared" si="1"/>
        <v>-2.2120000000000004E-2</v>
      </c>
      <c r="F15" s="3">
        <f t="shared" si="2"/>
        <v>-2.2120000000000006</v>
      </c>
      <c r="G15" s="3">
        <f t="shared" si="3"/>
        <v>-2.2120000000000004E-3</v>
      </c>
      <c r="H15" s="5"/>
    </row>
    <row r="16" spans="1:12" ht="30" customHeight="1" x14ac:dyDescent="0.35">
      <c r="A16" s="1" t="s">
        <v>20</v>
      </c>
      <c r="B16" s="3">
        <v>2.4E-2</v>
      </c>
      <c r="C16" s="4">
        <v>100</v>
      </c>
      <c r="D16" s="3">
        <f t="shared" si="0"/>
        <v>-1.7000000000000001E-2</v>
      </c>
      <c r="E16" s="3">
        <f t="shared" si="1"/>
        <v>-2.6860000000000002E-2</v>
      </c>
      <c r="F16" s="3">
        <f t="shared" si="2"/>
        <v>-2.6860000000000004</v>
      </c>
      <c r="G16" s="3">
        <f t="shared" si="3"/>
        <v>-2.6860000000000005E-3</v>
      </c>
      <c r="H16" s="5"/>
    </row>
    <row r="18" spans="1:11" x14ac:dyDescent="0.35">
      <c r="J18" s="7" t="s">
        <v>21</v>
      </c>
      <c r="K18" s="8">
        <v>1.58</v>
      </c>
    </row>
    <row r="19" spans="1:11" x14ac:dyDescent="0.35">
      <c r="A19" s="9" t="s">
        <v>22</v>
      </c>
      <c r="B19" s="10"/>
      <c r="C19" s="10"/>
      <c r="D19" s="10"/>
      <c r="E19" s="10"/>
      <c r="F19" s="10"/>
    </row>
    <row r="20" spans="1:11" x14ac:dyDescent="0.35">
      <c r="A20" s="10"/>
      <c r="B20" s="10"/>
      <c r="C20" s="10"/>
      <c r="D20" s="10"/>
      <c r="E20" s="10"/>
      <c r="F20" s="10"/>
    </row>
    <row r="21" spans="1:11" x14ac:dyDescent="0.35">
      <c r="A21" s="10"/>
      <c r="B21" s="10"/>
      <c r="C21" s="10"/>
      <c r="D21" s="10"/>
      <c r="E21" s="10"/>
      <c r="F21" s="10"/>
    </row>
    <row r="22" spans="1:11" x14ac:dyDescent="0.35">
      <c r="A22" s="10"/>
      <c r="B22" s="10"/>
      <c r="C22" s="10"/>
      <c r="D22" s="10"/>
      <c r="E22" s="10"/>
      <c r="F22" s="10"/>
    </row>
    <row r="23" spans="1:11" x14ac:dyDescent="0.35">
      <c r="A23" s="10"/>
      <c r="B23" s="10"/>
      <c r="C23" s="10"/>
      <c r="D23" s="10"/>
      <c r="E23" s="10"/>
      <c r="F23" s="10"/>
    </row>
    <row r="24" spans="1:11" x14ac:dyDescent="0.35">
      <c r="A24" s="10"/>
      <c r="B24" s="10"/>
      <c r="C24" s="10"/>
      <c r="D24" s="10"/>
      <c r="E24" s="10"/>
      <c r="F24" s="10"/>
    </row>
    <row r="25" spans="1:11" x14ac:dyDescent="0.35">
      <c r="A25" s="10"/>
      <c r="B25" s="10"/>
      <c r="C25" s="10"/>
      <c r="D25" s="10"/>
      <c r="E25" s="10"/>
      <c r="F25" s="10"/>
    </row>
    <row r="26" spans="1:11" x14ac:dyDescent="0.35">
      <c r="A26" s="10"/>
      <c r="B26" s="10"/>
      <c r="C26" s="10"/>
      <c r="D26" s="10"/>
      <c r="E26" s="10"/>
      <c r="F26" s="10"/>
    </row>
    <row r="34" spans="8:8" ht="16" x14ac:dyDescent="0.4">
      <c r="H34" s="11"/>
    </row>
    <row r="36" spans="8:8" ht="16" x14ac:dyDescent="0.4">
      <c r="H36" s="11"/>
    </row>
    <row r="38" spans="8:8" ht="16" x14ac:dyDescent="0.4">
      <c r="H38" s="11"/>
    </row>
  </sheetData>
  <mergeCells count="2">
    <mergeCell ref="H7:H16"/>
    <mergeCell ref="A19:F2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Chammartin William</dc:creator>
  <cp:lastModifiedBy>Chammartin William</cp:lastModifiedBy>
  <dcterms:created xsi:type="dcterms:W3CDTF">2025-12-06T12:43:46Z</dcterms:created>
  <dcterms:modified xsi:type="dcterms:W3CDTF">2025-12-06T12:44:26Z</dcterms:modified>
</cp:coreProperties>
</file>